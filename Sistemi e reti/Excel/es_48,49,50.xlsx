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school\Sistemi e reti\Excel\"/>
    </mc:Choice>
  </mc:AlternateContent>
  <xr:revisionPtr revIDLastSave="0" documentId="13_ncr:1_{DA13B438-2A89-4E0E-A4D1-854ADA85A7A3}" xr6:coauthVersionLast="47" xr6:coauthVersionMax="47" xr10:uidLastSave="{00000000-0000-0000-0000-000000000000}"/>
  <bookViews>
    <workbookView xWindow="-108" yWindow="-108" windowWidth="23256" windowHeight="13176" xr2:uid="{385FB432-9BD4-4A02-91FD-6E907938A1B6}"/>
  </bookViews>
  <sheets>
    <sheet name="es 48" sheetId="1" r:id="rId1"/>
    <sheet name="es 49" sheetId="2" r:id="rId2"/>
    <sheet name="es 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5" i="1"/>
  <c r="E13" i="1"/>
  <c r="D13" i="1"/>
  <c r="D14" i="1"/>
  <c r="D19" i="1"/>
  <c r="E14" i="2"/>
  <c r="F14" i="2"/>
  <c r="G14" i="2"/>
  <c r="H14" i="2"/>
  <c r="I14" i="2"/>
  <c r="D14" i="2"/>
  <c r="E14" i="1"/>
  <c r="F14" i="1"/>
  <c r="G14" i="1"/>
  <c r="H14" i="1"/>
  <c r="I14" i="1"/>
  <c r="F13" i="2"/>
  <c r="G13" i="2"/>
  <c r="H13" i="2" s="1"/>
  <c r="I13" i="2" s="1"/>
  <c r="E13" i="2"/>
  <c r="D13" i="2"/>
  <c r="D16" i="2" l="1"/>
  <c r="D16" i="1"/>
  <c r="G10" i="3"/>
  <c r="G9" i="3"/>
  <c r="C8" i="3"/>
  <c r="C9" i="3"/>
  <c r="C10" i="3"/>
  <c r="C11" i="3"/>
  <c r="F4" i="3"/>
  <c r="F5" i="3"/>
  <c r="F6" i="3"/>
  <c r="F3" i="3"/>
  <c r="F8" i="1"/>
  <c r="F10" i="1" s="1"/>
  <c r="D8" i="1"/>
  <c r="F13" i="1" s="1"/>
  <c r="G13" i="1" s="1"/>
  <c r="H13" i="1" s="1"/>
  <c r="I13" i="1" s="1"/>
  <c r="E8" i="1"/>
  <c r="E10" i="1" s="1"/>
  <c r="G8" i="1"/>
  <c r="G10" i="1" s="1"/>
  <c r="H8" i="1"/>
  <c r="H10" i="1" s="1"/>
  <c r="I8" i="1"/>
  <c r="I10" i="1" s="1"/>
  <c r="H7" i="2"/>
  <c r="H9" i="2" s="1"/>
  <c r="I7" i="2"/>
  <c r="I9" i="2" s="1"/>
  <c r="D17" i="2"/>
  <c r="E9" i="2"/>
  <c r="D9" i="2"/>
  <c r="D11" i="2" s="1"/>
  <c r="E11" i="2" s="1"/>
  <c r="F11" i="2" s="1"/>
  <c r="G11" i="2" s="1"/>
  <c r="F7" i="2"/>
  <c r="F9" i="2" s="1"/>
  <c r="G7" i="2"/>
  <c r="G9" i="2" s="1"/>
  <c r="E7" i="2"/>
  <c r="D7" i="2"/>
  <c r="H11" i="2" l="1"/>
  <c r="I11" i="2" s="1"/>
  <c r="D10" i="1"/>
  <c r="D17" i="1"/>
  <c r="D18" i="1" l="1"/>
  <c r="D11" i="1"/>
  <c r="E11" i="1" s="1"/>
  <c r="F11" i="1" s="1"/>
  <c r="G11" i="1" s="1"/>
  <c r="H11" i="1" s="1"/>
  <c r="I11" i="1" s="1"/>
</calcChain>
</file>

<file path=xl/sharedStrings.xml><?xml version="1.0" encoding="utf-8"?>
<sst xmlns="http://schemas.openxmlformats.org/spreadsheetml/2006/main" count="48" uniqueCount="33">
  <si>
    <t>I =</t>
  </si>
  <si>
    <t xml:space="preserve">R = </t>
  </si>
  <si>
    <t>anno</t>
  </si>
  <si>
    <t>Ricavo annui</t>
  </si>
  <si>
    <t>VAN</t>
  </si>
  <si>
    <t>TIR</t>
  </si>
  <si>
    <t>montante ricavi attualizzati</t>
  </si>
  <si>
    <t>payback</t>
  </si>
  <si>
    <t>anni</t>
  </si>
  <si>
    <t xml:space="preserve">I = </t>
  </si>
  <si>
    <t>R =</t>
  </si>
  <si>
    <t>Ricavi annui</t>
  </si>
  <si>
    <t>PayBack</t>
  </si>
  <si>
    <t>Van</t>
  </si>
  <si>
    <t>A</t>
  </si>
  <si>
    <t>B</t>
  </si>
  <si>
    <t>TV</t>
  </si>
  <si>
    <t>Tablet</t>
  </si>
  <si>
    <t>Bundle</t>
  </si>
  <si>
    <t>Pay TV</t>
  </si>
  <si>
    <t>Tv vendute</t>
  </si>
  <si>
    <t>Pay Tv</t>
  </si>
  <si>
    <t>Incasso senza bundle</t>
  </si>
  <si>
    <t>incasso con bundle</t>
  </si>
  <si>
    <t>Ra =</t>
  </si>
  <si>
    <t>mediate VAN</t>
  </si>
  <si>
    <t>mediante SOMMA</t>
  </si>
  <si>
    <t>Montante</t>
  </si>
  <si>
    <t>ROI</t>
  </si>
  <si>
    <t>Profitto</t>
  </si>
  <si>
    <t>Tasso interessa nominale banca</t>
  </si>
  <si>
    <t>differenza tra il rendimento delle operazioni</t>
  </si>
  <si>
    <t>valore attuale netto rispetto ad un'altra operazione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</si>
</sst>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72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9" fontId="0" fillId="0" borderId="0" xfId="2" applyFont="1"/>
    <xf numFmtId="44" fontId="0" fillId="2" borderId="0" xfId="1" applyFont="1" applyFill="1"/>
    <xf numFmtId="9" fontId="0" fillId="2" borderId="0" xfId="2" applyNumberFormat="1" applyFont="1" applyFill="1"/>
    <xf numFmtId="44" fontId="0" fillId="0" borderId="0" xfId="0" applyNumberFormat="1"/>
    <xf numFmtId="9" fontId="0" fillId="0" borderId="0" xfId="0" applyNumberFormat="1"/>
    <xf numFmtId="9" fontId="0" fillId="2" borderId="0" xfId="2" applyFont="1" applyFill="1"/>
    <xf numFmtId="172" fontId="0" fillId="0" borderId="0" xfId="0" applyNumberForma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0" fontId="0" fillId="0" borderId="0" xfId="0" applyNumberFormat="1"/>
    <xf numFmtId="44" fontId="1" fillId="0" borderId="0" xfId="1" applyFont="1"/>
    <xf numFmtId="0" fontId="0" fillId="0" borderId="0" xfId="0" applyFont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6111-8205-43D9-9C07-B67DD8979231}">
  <dimension ref="B2:I23"/>
  <sheetViews>
    <sheetView tabSelected="1" workbookViewId="0">
      <selection activeCell="J23" sqref="J23"/>
    </sheetView>
  </sheetViews>
  <sheetFormatPr defaultRowHeight="14.4" x14ac:dyDescent="0.3"/>
  <cols>
    <col min="2" max="2" width="4.5546875" bestFit="1" customWidth="1"/>
    <col min="3" max="3" width="23.44140625" bestFit="1" customWidth="1"/>
    <col min="4" max="4" width="11.77734375" bestFit="1" customWidth="1"/>
    <col min="5" max="5" width="15.88671875" bestFit="1" customWidth="1"/>
    <col min="6" max="9" width="11.77734375" bestFit="1" customWidth="1"/>
  </cols>
  <sheetData>
    <row r="2" spans="2:9" x14ac:dyDescent="0.3">
      <c r="B2" t="s">
        <v>0</v>
      </c>
      <c r="C2" s="3">
        <v>30000</v>
      </c>
    </row>
    <row r="3" spans="2:9" x14ac:dyDescent="0.3">
      <c r="B3" t="s">
        <v>24</v>
      </c>
      <c r="C3" s="3">
        <v>12500</v>
      </c>
    </row>
    <row r="4" spans="2:9" x14ac:dyDescent="0.3">
      <c r="B4" t="s">
        <v>1</v>
      </c>
      <c r="C4" s="4">
        <v>0.18</v>
      </c>
      <c r="D4" t="s">
        <v>30</v>
      </c>
    </row>
    <row r="7" spans="2:9" x14ac:dyDescent="0.3">
      <c r="C7" t="s">
        <v>2</v>
      </c>
      <c r="D7">
        <v>0</v>
      </c>
      <c r="E7">
        <v>1</v>
      </c>
      <c r="F7">
        <v>2</v>
      </c>
      <c r="G7">
        <v>3</v>
      </c>
      <c r="H7">
        <v>4</v>
      </c>
      <c r="I7">
        <v>5</v>
      </c>
    </row>
    <row r="8" spans="2:9" x14ac:dyDescent="0.3">
      <c r="C8" t="s">
        <v>3</v>
      </c>
      <c r="D8" s="5">
        <f xml:space="preserve"> -C2</f>
        <v>-30000</v>
      </c>
      <c r="E8" s="5">
        <f>$C$3</f>
        <v>12500</v>
      </c>
      <c r="F8" s="5">
        <f>$C$3</f>
        <v>12500</v>
      </c>
      <c r="G8" s="5">
        <f t="shared" ref="G8:I8" si="0">$C$3</f>
        <v>12500</v>
      </c>
      <c r="H8" s="5">
        <f t="shared" si="0"/>
        <v>12500</v>
      </c>
      <c r="I8" s="5">
        <f t="shared" si="0"/>
        <v>12500</v>
      </c>
    </row>
    <row r="10" spans="2:9" x14ac:dyDescent="0.3">
      <c r="C10" t="s">
        <v>6</v>
      </c>
      <c r="D10" s="5">
        <f>D8</f>
        <v>-30000</v>
      </c>
      <c r="E10" s="5">
        <f xml:space="preserve"> E$8/(1+$C$4)^E$7</f>
        <v>10593.220338983052</v>
      </c>
      <c r="F10" s="5">
        <f t="shared" ref="F10:I10" si="1" xml:space="preserve"> F$8/(1+$C$4)^F$7</f>
        <v>8977.3053720195348</v>
      </c>
      <c r="G10" s="5">
        <f t="shared" si="1"/>
        <v>7607.8859084911319</v>
      </c>
      <c r="H10" s="5">
        <f t="shared" si="1"/>
        <v>6447.3609393992647</v>
      </c>
      <c r="I10" s="5">
        <f t="shared" si="1"/>
        <v>5463.8652028807337</v>
      </c>
    </row>
    <row r="11" spans="2:9" x14ac:dyDescent="0.3">
      <c r="C11" t="s">
        <v>4</v>
      </c>
      <c r="D11" s="5">
        <f>D10</f>
        <v>-30000</v>
      </c>
      <c r="E11" s="5">
        <f>D11+E10</f>
        <v>-19406.779661016946</v>
      </c>
      <c r="F11" s="5">
        <f>E11+F10</f>
        <v>-10429.474288997411</v>
      </c>
      <c r="G11" s="5">
        <f>F11+G10</f>
        <v>-2821.5883805062795</v>
      </c>
      <c r="H11" s="5">
        <f t="shared" ref="H11:I11" si="2">G11+H10</f>
        <v>3625.7725588929852</v>
      </c>
      <c r="I11" s="5">
        <f t="shared" si="2"/>
        <v>9089.6377617737198</v>
      </c>
    </row>
    <row r="12" spans="2:9" x14ac:dyDescent="0.3">
      <c r="D12" s="5"/>
      <c r="E12" s="5"/>
      <c r="F12" s="5"/>
      <c r="G12" s="5"/>
      <c r="H12" s="5"/>
      <c r="I12" s="5"/>
    </row>
    <row r="13" spans="2:9" x14ac:dyDescent="0.3">
      <c r="C13" t="s">
        <v>27</v>
      </c>
      <c r="D13" s="5">
        <f>D8</f>
        <v>-30000</v>
      </c>
      <c r="E13" s="5">
        <f>D$13+$C$3</f>
        <v>-17500</v>
      </c>
      <c r="F13" s="5">
        <f t="shared" ref="F13:H13" si="3">E$13+$C$3</f>
        <v>-5000</v>
      </c>
      <c r="G13" s="5">
        <f t="shared" si="3"/>
        <v>7500</v>
      </c>
      <c r="H13" s="5">
        <f t="shared" si="3"/>
        <v>20000</v>
      </c>
      <c r="I13" s="5">
        <f>H$13+$C$3</f>
        <v>32500</v>
      </c>
    </row>
    <row r="14" spans="2:9" x14ac:dyDescent="0.3">
      <c r="C14" t="s">
        <v>28</v>
      </c>
      <c r="D14" s="2">
        <f>D$13/$C$2</f>
        <v>-1</v>
      </c>
      <c r="E14" s="2">
        <f t="shared" ref="E14:I14" si="4">E$13/$C$2</f>
        <v>-0.58333333333333337</v>
      </c>
      <c r="F14" s="2">
        <f t="shared" si="4"/>
        <v>-0.16666666666666666</v>
      </c>
      <c r="G14" s="2">
        <f t="shared" si="4"/>
        <v>0.25</v>
      </c>
      <c r="H14" s="2">
        <f t="shared" si="4"/>
        <v>0.66666666666666663</v>
      </c>
      <c r="I14" s="2">
        <f t="shared" si="4"/>
        <v>1.0833333333333333</v>
      </c>
    </row>
    <row r="15" spans="2:9" x14ac:dyDescent="0.3">
      <c r="C15" t="s">
        <v>5</v>
      </c>
      <c r="D15" s="6">
        <f>IRR(D8:I8)</f>
        <v>0.3077195776969921</v>
      </c>
    </row>
    <row r="16" spans="2:9" x14ac:dyDescent="0.3">
      <c r="C16" t="s">
        <v>7</v>
      </c>
      <c r="D16" s="8">
        <f>C2/C3</f>
        <v>2.4</v>
      </c>
      <c r="E16" t="s">
        <v>8</v>
      </c>
    </row>
    <row r="17" spans="3:6" x14ac:dyDescent="0.3">
      <c r="C17" t="s">
        <v>4</v>
      </c>
      <c r="D17" s="5">
        <f>NPV(C4,E8:I8)+D10</f>
        <v>9089.6377617737235</v>
      </c>
      <c r="E17" t="s">
        <v>25</v>
      </c>
      <c r="F17" t="s">
        <v>31</v>
      </c>
    </row>
    <row r="18" spans="3:6" x14ac:dyDescent="0.3">
      <c r="C18" t="s">
        <v>4</v>
      </c>
      <c r="D18" s="5">
        <f>SUM(D10:I10)</f>
        <v>9089.6377617737198</v>
      </c>
      <c r="E18" t="s">
        <v>26</v>
      </c>
    </row>
    <row r="19" spans="3:6" x14ac:dyDescent="0.3">
      <c r="C19" t="s">
        <v>29</v>
      </c>
      <c r="D19" s="5">
        <f>I13</f>
        <v>32500</v>
      </c>
    </row>
    <row r="20" spans="3:6" x14ac:dyDescent="0.3">
      <c r="C20" t="s">
        <v>28</v>
      </c>
    </row>
    <row r="23" spans="3:6" x14ac:dyDescent="0.3">
      <c r="F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B788-F868-43B9-9E28-2CAB2E432425}">
  <dimension ref="B2:I17"/>
  <sheetViews>
    <sheetView workbookViewId="0">
      <selection activeCell="D16" sqref="D16"/>
    </sheetView>
  </sheetViews>
  <sheetFormatPr defaultRowHeight="14.4" x14ac:dyDescent="0.3"/>
  <cols>
    <col min="2" max="2" width="4.5546875" bestFit="1" customWidth="1"/>
    <col min="3" max="3" width="23.44140625" bestFit="1" customWidth="1"/>
    <col min="4" max="9" width="11.77734375" bestFit="1" customWidth="1"/>
  </cols>
  <sheetData>
    <row r="2" spans="2:9" x14ac:dyDescent="0.3">
      <c r="B2" t="s">
        <v>9</v>
      </c>
      <c r="C2" s="3">
        <v>50000</v>
      </c>
    </row>
    <row r="3" spans="2:9" x14ac:dyDescent="0.3">
      <c r="B3" t="s">
        <v>24</v>
      </c>
      <c r="C3" s="3">
        <v>20000</v>
      </c>
    </row>
    <row r="4" spans="2:9" x14ac:dyDescent="0.3">
      <c r="B4" t="s">
        <v>10</v>
      </c>
      <c r="C4" s="7">
        <v>0.25</v>
      </c>
    </row>
    <row r="6" spans="2:9" x14ac:dyDescent="0.3">
      <c r="C6" t="s">
        <v>2</v>
      </c>
      <c r="D6">
        <v>0</v>
      </c>
      <c r="E6">
        <v>1</v>
      </c>
      <c r="F6">
        <v>2</v>
      </c>
      <c r="G6">
        <v>3</v>
      </c>
      <c r="H6">
        <v>4</v>
      </c>
      <c r="I6">
        <v>5</v>
      </c>
    </row>
    <row r="7" spans="2:9" x14ac:dyDescent="0.3">
      <c r="C7" t="s">
        <v>11</v>
      </c>
      <c r="D7" s="5">
        <f>-C2</f>
        <v>-50000</v>
      </c>
      <c r="E7" s="5">
        <f>$C$3</f>
        <v>20000</v>
      </c>
      <c r="F7" s="5">
        <f t="shared" ref="F7:I7" si="0">$C$3</f>
        <v>20000</v>
      </c>
      <c r="G7" s="5">
        <f t="shared" si="0"/>
        <v>20000</v>
      </c>
      <c r="H7" s="5">
        <f t="shared" si="0"/>
        <v>20000</v>
      </c>
      <c r="I7" s="5">
        <f t="shared" si="0"/>
        <v>20000</v>
      </c>
    </row>
    <row r="9" spans="2:9" x14ac:dyDescent="0.3">
      <c r="C9" t="s">
        <v>6</v>
      </c>
      <c r="D9" s="5">
        <f>D7</f>
        <v>-50000</v>
      </c>
      <c r="E9" s="5">
        <f>E$7/(1+$C$4)^E$6</f>
        <v>16000</v>
      </c>
      <c r="F9" s="5">
        <f t="shared" ref="F9:I9" si="1">F$7/(1+$C$4)^F$6</f>
        <v>12800</v>
      </c>
      <c r="G9" s="5">
        <f t="shared" si="1"/>
        <v>10240</v>
      </c>
      <c r="H9" s="5">
        <f t="shared" si="1"/>
        <v>8192</v>
      </c>
      <c r="I9" s="5">
        <f t="shared" si="1"/>
        <v>6553.6</v>
      </c>
    </row>
    <row r="11" spans="2:9" x14ac:dyDescent="0.3">
      <c r="C11" t="s">
        <v>4</v>
      </c>
      <c r="D11" s="5">
        <f>$D$9</f>
        <v>-50000</v>
      </c>
      <c r="E11" s="5">
        <f>D$11+E$9</f>
        <v>-34000</v>
      </c>
      <c r="F11" s="5">
        <f t="shared" ref="F11:G11" si="2">E$11+F$9</f>
        <v>-21200</v>
      </c>
      <c r="G11" s="5">
        <f t="shared" si="2"/>
        <v>-10960</v>
      </c>
      <c r="H11" s="5">
        <f t="shared" ref="H11:I11" si="3">G$11+H$9</f>
        <v>-2768</v>
      </c>
      <c r="I11" s="5">
        <f t="shared" si="3"/>
        <v>3785.6000000000004</v>
      </c>
    </row>
    <row r="13" spans="2:9" x14ac:dyDescent="0.3">
      <c r="C13" t="s">
        <v>27</v>
      </c>
      <c r="D13" s="5">
        <f>D7</f>
        <v>-50000</v>
      </c>
      <c r="E13" s="5">
        <f>D$13+$C$3</f>
        <v>-30000</v>
      </c>
      <c r="F13" s="5">
        <f t="shared" ref="F13:I13" si="4">E$13+$C$3</f>
        <v>-10000</v>
      </c>
      <c r="G13" s="5">
        <f t="shared" si="4"/>
        <v>10000</v>
      </c>
      <c r="H13" s="5">
        <f t="shared" si="4"/>
        <v>30000</v>
      </c>
      <c r="I13" s="5">
        <f t="shared" si="4"/>
        <v>50000</v>
      </c>
    </row>
    <row r="14" spans="2:9" x14ac:dyDescent="0.3">
      <c r="C14" t="s">
        <v>28</v>
      </c>
      <c r="D14" s="2">
        <f>D$13/$C$2</f>
        <v>-1</v>
      </c>
      <c r="E14" s="2">
        <f t="shared" ref="E14:I14" si="5">E$13/$C$2</f>
        <v>-0.6</v>
      </c>
      <c r="F14" s="2">
        <f t="shared" si="5"/>
        <v>-0.2</v>
      </c>
      <c r="G14" s="2">
        <f t="shared" si="5"/>
        <v>0.2</v>
      </c>
      <c r="H14" s="2">
        <f t="shared" si="5"/>
        <v>0.6</v>
      </c>
      <c r="I14" s="2">
        <f t="shared" si="5"/>
        <v>1</v>
      </c>
    </row>
    <row r="15" spans="2:9" x14ac:dyDescent="0.3">
      <c r="C15" t="s">
        <v>5</v>
      </c>
      <c r="D15" s="12">
        <f>IRR(D7:G7)</f>
        <v>9.7010257403348898E-2</v>
      </c>
    </row>
    <row r="16" spans="2:9" x14ac:dyDescent="0.3">
      <c r="C16" t="s">
        <v>12</v>
      </c>
      <c r="D16" s="8">
        <f>C2/C3</f>
        <v>2.5</v>
      </c>
      <c r="E16" t="s">
        <v>8</v>
      </c>
    </row>
    <row r="17" spans="3:4" x14ac:dyDescent="0.3">
      <c r="C17" t="s">
        <v>13</v>
      </c>
      <c r="D17" s="5">
        <f>NPV(C4,E7:G7)+D9</f>
        <v>-10960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8471-3F3D-4F74-B574-710E81E146CD}">
  <dimension ref="B1:G22"/>
  <sheetViews>
    <sheetView workbookViewId="0">
      <selection activeCell="G19" sqref="G19"/>
    </sheetView>
  </sheetViews>
  <sheetFormatPr defaultRowHeight="14.4" x14ac:dyDescent="0.3"/>
  <cols>
    <col min="2" max="2" width="10.44140625" bestFit="1" customWidth="1"/>
    <col min="3" max="3" width="4" bestFit="1" customWidth="1"/>
    <col min="4" max="4" width="6.77734375" bestFit="1" customWidth="1"/>
    <col min="5" max="5" width="6.21875" bestFit="1" customWidth="1"/>
    <col min="6" max="6" width="18.21875" bestFit="1" customWidth="1"/>
    <col min="7" max="7" width="10.77734375" bestFit="1" customWidth="1"/>
  </cols>
  <sheetData>
    <row r="1" spans="2:7" x14ac:dyDescent="0.3">
      <c r="C1" s="10" t="s">
        <v>16</v>
      </c>
      <c r="D1" s="10" t="s">
        <v>19</v>
      </c>
      <c r="E1" s="10" t="s">
        <v>17</v>
      </c>
      <c r="F1" s="10" t="s">
        <v>18</v>
      </c>
    </row>
    <row r="2" spans="2:7" x14ac:dyDescent="0.3">
      <c r="C2" s="11">
        <v>700</v>
      </c>
      <c r="D2" s="11">
        <v>110</v>
      </c>
      <c r="E2" s="11">
        <v>120</v>
      </c>
      <c r="F2" s="11">
        <v>800</v>
      </c>
    </row>
    <row r="3" spans="2:7" x14ac:dyDescent="0.3">
      <c r="B3" s="9" t="s">
        <v>14</v>
      </c>
      <c r="C3">
        <v>600</v>
      </c>
      <c r="D3">
        <v>110</v>
      </c>
      <c r="E3">
        <v>100</v>
      </c>
      <c r="F3">
        <f>SUM(C3:E3)</f>
        <v>810</v>
      </c>
    </row>
    <row r="4" spans="2:7" x14ac:dyDescent="0.3">
      <c r="B4" s="9" t="s">
        <v>15</v>
      </c>
      <c r="C4">
        <v>500</v>
      </c>
      <c r="D4">
        <v>100</v>
      </c>
      <c r="E4">
        <v>100</v>
      </c>
      <c r="F4">
        <f t="shared" ref="F4:F6" si="0">SUM(C4:E4)</f>
        <v>700</v>
      </c>
    </row>
    <row r="5" spans="2:7" x14ac:dyDescent="0.3">
      <c r="B5" s="9" t="s">
        <v>14</v>
      </c>
      <c r="C5">
        <v>500</v>
      </c>
      <c r="D5">
        <v>100</v>
      </c>
      <c r="E5">
        <v>200</v>
      </c>
      <c r="F5">
        <f t="shared" si="0"/>
        <v>800</v>
      </c>
    </row>
    <row r="6" spans="2:7" x14ac:dyDescent="0.3">
      <c r="B6" s="9" t="s">
        <v>15</v>
      </c>
      <c r="C6">
        <v>500</v>
      </c>
      <c r="D6">
        <v>60</v>
      </c>
      <c r="E6">
        <v>250</v>
      </c>
      <c r="F6">
        <f t="shared" si="0"/>
        <v>810</v>
      </c>
    </row>
    <row r="8" spans="2:7" x14ac:dyDescent="0.3">
      <c r="B8" s="9" t="s">
        <v>20</v>
      </c>
      <c r="C8">
        <f>COUNTIF(C3:C6,"&gt;=700")</f>
        <v>0</v>
      </c>
    </row>
    <row r="9" spans="2:7" x14ac:dyDescent="0.3">
      <c r="B9" s="9" t="s">
        <v>21</v>
      </c>
      <c r="C9">
        <f>COUNTIF(D3:D6,"&gt;=110")</f>
        <v>1</v>
      </c>
      <c r="F9" t="s">
        <v>22</v>
      </c>
      <c r="G9" s="13">
        <f>(C8*C2)+(C9*D2)+(C10*E2)</f>
        <v>350</v>
      </c>
    </row>
    <row r="10" spans="2:7" x14ac:dyDescent="0.3">
      <c r="B10" s="9" t="s">
        <v>17</v>
      </c>
      <c r="C10">
        <f>COUNTIF(E3:E6,"&gt;=120")</f>
        <v>2</v>
      </c>
      <c r="F10" t="s">
        <v>23</v>
      </c>
      <c r="G10" s="1">
        <f>C11*F2</f>
        <v>2400</v>
      </c>
    </row>
    <row r="11" spans="2:7" x14ac:dyDescent="0.3">
      <c r="B11" s="9" t="s">
        <v>18</v>
      </c>
      <c r="C11" s="14">
        <f>COUNTIF(F3:F6,"&gt;=800")</f>
        <v>3</v>
      </c>
    </row>
    <row r="19" spans="6:7" x14ac:dyDescent="0.3">
      <c r="G19" s="9"/>
    </row>
    <row r="22" spans="6:7" x14ac:dyDescent="0.3">
      <c r="F22" s="9"/>
    </row>
  </sheetData>
  <pageMargins left="0.7" right="0.7" top="0.75" bottom="0.75" header="0.3" footer="0.3"/>
  <ignoredErrors>
    <ignoredError sqref="C8:C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es 48</vt:lpstr>
      <vt:lpstr>es 49</vt:lpstr>
      <vt:lpstr>es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kpante</dc:creator>
  <cp:lastModifiedBy>aaron kpante</cp:lastModifiedBy>
  <dcterms:created xsi:type="dcterms:W3CDTF">2026-10-21T09:09:30Z</dcterms:created>
  <dcterms:modified xsi:type="dcterms:W3CDTF">2026-10-21T11:01:29Z</dcterms:modified>
</cp:coreProperties>
</file>