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cuments\school\Sistemi e reti\Excel\"/>
    </mc:Choice>
  </mc:AlternateContent>
  <xr:revisionPtr revIDLastSave="0" documentId="8_{EAA381E7-4CDA-4921-BA33-1D1ABAFD1FB5}" xr6:coauthVersionLast="47" xr6:coauthVersionMax="47" xr10:uidLastSave="{00000000-0000-0000-0000-000000000000}"/>
  <bookViews>
    <workbookView xWindow="-108" yWindow="-108" windowWidth="23256" windowHeight="13176" xr2:uid="{B11FF2DE-1247-4459-B737-1181E383EA88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1" i="1" l="1"/>
  <c r="E21" i="1"/>
  <c r="F21" i="1"/>
  <c r="G21" i="1"/>
  <c r="H21" i="1"/>
  <c r="I21" i="1"/>
  <c r="C21" i="1"/>
  <c r="D22" i="1"/>
  <c r="D24" i="1"/>
  <c r="C11" i="1"/>
  <c r="C6" i="1"/>
  <c r="D20" i="1"/>
  <c r="D11" i="1"/>
  <c r="C27" i="1" s="1"/>
  <c r="E11" i="1"/>
  <c r="F11" i="1"/>
  <c r="G11" i="1"/>
  <c r="H11" i="1"/>
  <c r="I11" i="1"/>
  <c r="C14" i="1"/>
  <c r="C16" i="1" s="1"/>
  <c r="C17" i="1" s="1"/>
  <c r="C26" i="1" l="1"/>
  <c r="D14" i="1"/>
  <c r="D16" i="1" s="1"/>
  <c r="G14" i="1"/>
  <c r="E14" i="1"/>
  <c r="F14" i="1"/>
  <c r="I14" i="1"/>
  <c r="H14" i="1"/>
  <c r="E20" i="1"/>
  <c r="F20" i="1" s="1"/>
  <c r="G20" i="1" s="1"/>
  <c r="H20" i="1" s="1"/>
  <c r="E16" i="1" l="1"/>
  <c r="E17" i="1" s="1"/>
  <c r="D17" i="1"/>
  <c r="I20" i="1"/>
  <c r="D23" i="1" l="1"/>
  <c r="F16" i="1"/>
  <c r="F17" i="1" s="1"/>
  <c r="G16" i="1" l="1"/>
  <c r="G17" i="1" s="1"/>
  <c r="H16" i="1" l="1"/>
  <c r="H17" i="1" l="1"/>
  <c r="I16" i="1"/>
  <c r="I17" i="1" l="1"/>
</calcChain>
</file>

<file path=xl/sharedStrings.xml><?xml version="1.0" encoding="utf-8"?>
<sst xmlns="http://schemas.openxmlformats.org/spreadsheetml/2006/main" count="22" uniqueCount="20">
  <si>
    <t>F =</t>
  </si>
  <si>
    <t>R =</t>
  </si>
  <si>
    <t>n =</t>
  </si>
  <si>
    <t xml:space="preserve">I = </t>
  </si>
  <si>
    <t>VAN</t>
  </si>
  <si>
    <t>anno</t>
  </si>
  <si>
    <t>Ricavo Annuali</t>
  </si>
  <si>
    <t>(svalutazione)</t>
  </si>
  <si>
    <t>ROI</t>
  </si>
  <si>
    <t>Montante Ricavi</t>
  </si>
  <si>
    <t>INDICI ATTUALIZZATI</t>
  </si>
  <si>
    <t>ROI ATTUALIZZATA</t>
  </si>
  <si>
    <t>rp =</t>
  </si>
  <si>
    <t>Montante Ricavi attualizzati</t>
  </si>
  <si>
    <t>NON ATTUALIZZATO (non tieni conto della svalutazione)</t>
  </si>
  <si>
    <t xml:space="preserve">TIR = </t>
  </si>
  <si>
    <t>Profitto</t>
  </si>
  <si>
    <t>R-C</t>
  </si>
  <si>
    <t>Ricavo</t>
  </si>
  <si>
    <t>Costo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</si>
</sst>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5" formatCode="#,##0.00\ &quot;€&quot;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165" fontId="0" fillId="0" borderId="0" xfId="0" applyNumberFormat="1"/>
    <xf numFmtId="0" fontId="0" fillId="2" borderId="0" xfId="0" applyFill="1"/>
    <xf numFmtId="9" fontId="0" fillId="2" borderId="0" xfId="0" applyNumberFormat="1" applyFill="1"/>
    <xf numFmtId="44" fontId="0" fillId="2" borderId="0" xfId="1" applyFont="1" applyFill="1"/>
    <xf numFmtId="44" fontId="0" fillId="0" borderId="0" xfId="0" applyNumberFormat="1"/>
    <xf numFmtId="0" fontId="0" fillId="0" borderId="0" xfId="0" applyAlignment="1">
      <alignment horizontal="center"/>
    </xf>
    <xf numFmtId="44" fontId="0" fillId="0" borderId="0" xfId="0" applyNumberFormat="1" applyAlignment="1">
      <alignment horizontal="center"/>
    </xf>
    <xf numFmtId="9" fontId="0" fillId="0" borderId="0" xfId="2" applyFont="1"/>
    <xf numFmtId="10" fontId="0" fillId="0" borderId="0" xfId="2" applyNumberFormat="1" applyFont="1"/>
    <xf numFmtId="165" fontId="2" fillId="0" borderId="0" xfId="0" applyNumberFormat="1" applyFont="1"/>
    <xf numFmtId="10" fontId="0" fillId="0" borderId="0" xfId="0" applyNumberFormat="1" applyAlignment="1">
      <alignment horizontal="center"/>
    </xf>
    <xf numFmtId="0" fontId="0" fillId="0" borderId="0" xfId="0" applyFont="1"/>
  </cellXfs>
  <cellStyles count="3">
    <cellStyle name="Normale" xfId="0" builtinId="0"/>
    <cellStyle name="Percentuale" xfId="2" builtinId="5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A96C9-4C35-4134-A9C1-9D8452A9AD45}">
  <dimension ref="A2:P27"/>
  <sheetViews>
    <sheetView tabSelected="1" topLeftCell="A2" workbookViewId="0">
      <selection activeCell="K22" sqref="K22"/>
    </sheetView>
  </sheetViews>
  <sheetFormatPr defaultRowHeight="14.4" x14ac:dyDescent="0.3"/>
  <cols>
    <col min="1" max="1" width="47.44140625" bestFit="1" customWidth="1"/>
    <col min="2" max="2" width="24" bestFit="1" customWidth="1"/>
    <col min="3" max="3" width="10.77734375" bestFit="1" customWidth="1"/>
    <col min="4" max="4" width="12.21875" bestFit="1" customWidth="1"/>
    <col min="5" max="7" width="10.77734375" bestFit="1" customWidth="1"/>
    <col min="8" max="16" width="11.77734375" bestFit="1" customWidth="1"/>
  </cols>
  <sheetData>
    <row r="2" spans="1:16" x14ac:dyDescent="0.3">
      <c r="B2" t="s">
        <v>3</v>
      </c>
      <c r="C2" s="4">
        <v>5020</v>
      </c>
    </row>
    <row r="3" spans="1:16" x14ac:dyDescent="0.3">
      <c r="B3" t="s">
        <v>2</v>
      </c>
      <c r="C3" s="2">
        <v>1</v>
      </c>
    </row>
    <row r="4" spans="1:16" x14ac:dyDescent="0.3">
      <c r="B4" t="s">
        <v>0</v>
      </c>
      <c r="C4" s="4">
        <v>2000</v>
      </c>
    </row>
    <row r="5" spans="1:16" x14ac:dyDescent="0.3">
      <c r="B5" t="s">
        <v>1</v>
      </c>
      <c r="C5" s="3">
        <v>0.2</v>
      </c>
      <c r="D5" t="s">
        <v>7</v>
      </c>
    </row>
    <row r="6" spans="1:16" x14ac:dyDescent="0.3">
      <c r="B6" t="s">
        <v>12</v>
      </c>
      <c r="C6" s="9">
        <f>C5/C3</f>
        <v>0.2</v>
      </c>
    </row>
    <row r="7" spans="1:16" x14ac:dyDescent="0.3">
      <c r="C7" s="9"/>
    </row>
    <row r="10" spans="1:16" x14ac:dyDescent="0.3">
      <c r="B10" t="s">
        <v>5</v>
      </c>
      <c r="C10" s="6">
        <v>0</v>
      </c>
      <c r="D10" s="6">
        <v>1</v>
      </c>
      <c r="E10" s="6">
        <v>2</v>
      </c>
      <c r="F10" s="6">
        <v>3</v>
      </c>
      <c r="G10" s="6">
        <v>4</v>
      </c>
      <c r="H10" s="6">
        <v>5</v>
      </c>
      <c r="I10" s="6">
        <v>6</v>
      </c>
      <c r="J10" s="6"/>
      <c r="K10" s="6"/>
      <c r="L10" s="6"/>
      <c r="M10" s="6"/>
      <c r="N10" s="6"/>
      <c r="O10" s="6"/>
      <c r="P10" s="6"/>
    </row>
    <row r="11" spans="1:16" x14ac:dyDescent="0.3">
      <c r="B11" t="s">
        <v>6</v>
      </c>
      <c r="C11" s="7">
        <f>-C2</f>
        <v>-5020</v>
      </c>
      <c r="D11" s="7">
        <f>$C$4</f>
        <v>2000</v>
      </c>
      <c r="E11" s="7">
        <f t="shared" ref="E11:I11" si="0">$C$4</f>
        <v>2000</v>
      </c>
      <c r="F11" s="7">
        <f t="shared" si="0"/>
        <v>2000</v>
      </c>
      <c r="G11" s="7">
        <f t="shared" si="0"/>
        <v>2000</v>
      </c>
      <c r="H11" s="7">
        <f t="shared" si="0"/>
        <v>2000</v>
      </c>
      <c r="I11" s="7">
        <f t="shared" si="0"/>
        <v>2000</v>
      </c>
      <c r="J11" s="7"/>
      <c r="K11" s="7"/>
      <c r="L11" s="7"/>
      <c r="M11" s="7"/>
      <c r="N11" s="7"/>
      <c r="O11" s="7"/>
      <c r="P11" s="7"/>
    </row>
    <row r="12" spans="1:16" x14ac:dyDescent="0.3">
      <c r="A12" t="s">
        <v>10</v>
      </c>
      <c r="C12" s="6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6" x14ac:dyDescent="0.3"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 x14ac:dyDescent="0.3">
      <c r="B14" t="s">
        <v>13</v>
      </c>
      <c r="C14" s="1">
        <f>-C2</f>
        <v>-5020</v>
      </c>
      <c r="D14" s="5">
        <f>D$11/(1+$C$6)^D10</f>
        <v>1666.6666666666667</v>
      </c>
      <c r="E14" s="5">
        <f t="shared" ref="E14:I14" si="1">E$11/(1+$C$6)^E10</f>
        <v>1388.8888888888889</v>
      </c>
      <c r="F14" s="5">
        <f t="shared" si="1"/>
        <v>1157.4074074074074</v>
      </c>
      <c r="G14" s="5">
        <f t="shared" si="1"/>
        <v>964.50617283950623</v>
      </c>
      <c r="H14" s="5">
        <f t="shared" si="1"/>
        <v>803.75514403292186</v>
      </c>
      <c r="I14" s="5">
        <f t="shared" si="1"/>
        <v>669.79595336076818</v>
      </c>
      <c r="J14" s="5"/>
      <c r="K14" s="5"/>
      <c r="L14" s="5"/>
      <c r="M14" s="5"/>
      <c r="N14" s="5"/>
      <c r="O14" s="5"/>
      <c r="P14" s="5"/>
    </row>
    <row r="16" spans="1:16" x14ac:dyDescent="0.3">
      <c r="B16" t="s">
        <v>4</v>
      </c>
      <c r="C16" s="1">
        <f>C14</f>
        <v>-5020</v>
      </c>
      <c r="D16" s="1">
        <f>C16+D14</f>
        <v>-3353.333333333333</v>
      </c>
      <c r="E16" s="1">
        <f>D16+E14</f>
        <v>-1964.4444444444441</v>
      </c>
      <c r="F16" s="1">
        <f>E16+F14</f>
        <v>-807.03703703703673</v>
      </c>
      <c r="G16" s="1">
        <f>F16+G14</f>
        <v>157.46913580246951</v>
      </c>
      <c r="H16" s="1">
        <f>G16+H14</f>
        <v>961.22427983539137</v>
      </c>
      <c r="I16" s="10">
        <f>H16+I14</f>
        <v>1631.0202331961596</v>
      </c>
      <c r="J16" s="1"/>
      <c r="K16" s="1"/>
      <c r="L16" s="1"/>
      <c r="M16" s="1"/>
      <c r="N16" s="1"/>
      <c r="O16" s="1"/>
      <c r="P16" s="1"/>
    </row>
    <row r="17" spans="1:16" x14ac:dyDescent="0.3">
      <c r="B17" t="s">
        <v>11</v>
      </c>
      <c r="C17" s="8">
        <f>C16/$C$2</f>
        <v>-1</v>
      </c>
      <c r="D17" s="8">
        <f t="shared" ref="D17:I17" si="2">D16/$C$2</f>
        <v>-0.6679946879150066</v>
      </c>
      <c r="E17" s="8">
        <f>E16/$C$2</f>
        <v>-0.39132359451084542</v>
      </c>
      <c r="F17" s="8">
        <f>F16/$C$2</f>
        <v>-0.16076435000737782</v>
      </c>
      <c r="G17" s="8">
        <f>G16/$C$2</f>
        <v>3.1368353745511855E-2</v>
      </c>
      <c r="H17" s="8">
        <f>H16/$C$2</f>
        <v>0.19147894020625325</v>
      </c>
      <c r="I17" s="8">
        <f t="shared" si="2"/>
        <v>0.32490442892353777</v>
      </c>
      <c r="J17" s="8"/>
      <c r="K17" s="8"/>
      <c r="L17" s="8"/>
      <c r="M17" s="8"/>
      <c r="N17" s="8"/>
      <c r="O17" s="8"/>
      <c r="P17" s="8"/>
    </row>
    <row r="18" spans="1:16" x14ac:dyDescent="0.3"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3">
      <c r="A19" t="s">
        <v>14</v>
      </c>
    </row>
    <row r="20" spans="1:16" x14ac:dyDescent="0.3">
      <c r="B20" t="s">
        <v>9</v>
      </c>
      <c r="C20">
        <v>-5020</v>
      </c>
      <c r="D20" s="5">
        <f>$C$4+C$20</f>
        <v>-3020</v>
      </c>
      <c r="E20" s="5">
        <f>$C$4+D$20</f>
        <v>-1020</v>
      </c>
      <c r="F20" s="5">
        <f>$C$4+E$20</f>
        <v>980</v>
      </c>
      <c r="G20" s="5">
        <f>$C$4+F$20</f>
        <v>2980</v>
      </c>
      <c r="H20" s="5">
        <f>$C$4+G$20</f>
        <v>4980</v>
      </c>
      <c r="I20" s="5">
        <f>$C$4+H$20</f>
        <v>6980</v>
      </c>
      <c r="J20" s="5"/>
      <c r="K20" s="5"/>
      <c r="L20" s="5"/>
      <c r="M20" s="5"/>
      <c r="N20" s="5"/>
      <c r="O20" s="5"/>
      <c r="P20" s="5"/>
    </row>
    <row r="21" spans="1:16" x14ac:dyDescent="0.3">
      <c r="B21" t="s">
        <v>8</v>
      </c>
      <c r="C21" s="8">
        <f>(C$20/$C$2)</f>
        <v>-1</v>
      </c>
      <c r="D21" s="8">
        <f t="shared" ref="D21:I21" si="3">(D$20/$C$2)</f>
        <v>-0.60159362549800799</v>
      </c>
      <c r="E21" s="8">
        <f t="shared" si="3"/>
        <v>-0.20318725099601595</v>
      </c>
      <c r="F21" s="8">
        <f t="shared" si="3"/>
        <v>0.19521912350597609</v>
      </c>
      <c r="G21" s="8">
        <f t="shared" si="3"/>
        <v>0.59362549800796816</v>
      </c>
      <c r="H21" s="8">
        <f t="shared" si="3"/>
        <v>0.99203187250996017</v>
      </c>
      <c r="I21" s="8">
        <f t="shared" si="3"/>
        <v>1.3904382470119523</v>
      </c>
      <c r="J21" s="8"/>
      <c r="K21" s="8"/>
      <c r="L21" s="8"/>
      <c r="M21" s="8"/>
      <c r="N21" s="8"/>
      <c r="O21" s="8"/>
      <c r="P21" s="8"/>
    </row>
    <row r="22" spans="1:16" x14ac:dyDescent="0.3">
      <c r="B22" t="s">
        <v>16</v>
      </c>
      <c r="C22" t="s">
        <v>17</v>
      </c>
      <c r="D22" s="5">
        <f>D23-D24</f>
        <v>6980</v>
      </c>
      <c r="K22" s="12"/>
    </row>
    <row r="23" spans="1:16" x14ac:dyDescent="0.3">
      <c r="B23" t="s">
        <v>18</v>
      </c>
      <c r="D23" s="5">
        <f>I20-C20</f>
        <v>12000</v>
      </c>
    </row>
    <row r="24" spans="1:16" x14ac:dyDescent="0.3">
      <c r="B24" t="s">
        <v>19</v>
      </c>
      <c r="D24" s="5">
        <f>C2</f>
        <v>5020</v>
      </c>
    </row>
    <row r="25" spans="1:16" x14ac:dyDescent="0.3">
      <c r="B25" t="s">
        <v>8</v>
      </c>
      <c r="D25" s="5"/>
    </row>
    <row r="26" spans="1:16" x14ac:dyDescent="0.3">
      <c r="B26" t="s">
        <v>4</v>
      </c>
      <c r="C26" s="10">
        <f>NPV($C$5,D11:I11)+C14</f>
        <v>1631.02023319616</v>
      </c>
    </row>
    <row r="27" spans="1:16" x14ac:dyDescent="0.3">
      <c r="B27" t="s">
        <v>15</v>
      </c>
      <c r="C27" s="11">
        <f>IRR(C11:I11)</f>
        <v>0.32467043517417205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kpante</dc:creator>
  <cp:lastModifiedBy>aaron kpante</cp:lastModifiedBy>
  <dcterms:created xsi:type="dcterms:W3CDTF">2026-10-19T09:34:41Z</dcterms:created>
  <dcterms:modified xsi:type="dcterms:W3CDTF">2026-10-19T10:43:53Z</dcterms:modified>
</cp:coreProperties>
</file>